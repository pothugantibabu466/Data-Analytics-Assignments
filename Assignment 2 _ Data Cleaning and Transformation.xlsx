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othuganti Babu\Downloads\"/>
    </mc:Choice>
  </mc:AlternateContent>
  <xr:revisionPtr revIDLastSave="0" documentId="13_ncr:1_{B2C90EA3-B01C-43AB-9FE8-6F9CAD23FE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13" i="2" l="1"/>
  <c r="P13" i="2" s="1"/>
  <c r="M2" i="2"/>
  <c r="K2" i="2"/>
  <c r="P2" i="2" s="1"/>
  <c r="K3" i="2"/>
  <c r="P3" i="2" s="1"/>
  <c r="K4" i="2"/>
  <c r="P4" i="2" s="1"/>
  <c r="K5" i="2"/>
  <c r="P5" i="2" s="1"/>
  <c r="K6" i="2"/>
  <c r="P6" i="2" s="1"/>
  <c r="K7" i="2"/>
  <c r="P7" i="2" s="1"/>
  <c r="K8" i="2"/>
  <c r="P8" i="2" s="1"/>
  <c r="K9" i="2"/>
  <c r="P9" i="2" s="1"/>
  <c r="K10" i="2"/>
  <c r="P10" i="2" s="1"/>
  <c r="K11" i="2"/>
  <c r="P11" i="2" s="1"/>
  <c r="K12" i="2"/>
  <c r="P12" i="2" s="1"/>
  <c r="K14" i="2"/>
  <c r="P14" i="2" s="1"/>
  <c r="K15" i="2"/>
  <c r="P15" i="2" s="1"/>
  <c r="K16" i="2"/>
  <c r="P16" i="2" s="1"/>
  <c r="K17" i="2"/>
  <c r="P17" i="2" s="1"/>
  <c r="K18" i="2"/>
  <c r="P18" i="2" s="1"/>
  <c r="K19" i="2"/>
  <c r="P19" i="2" s="1"/>
  <c r="K20" i="2"/>
  <c r="P20" i="2" s="1"/>
  <c r="K21" i="2"/>
  <c r="P21" i="2" s="1"/>
  <c r="K22" i="2"/>
  <c r="P22" i="2" s="1"/>
  <c r="K23" i="2"/>
  <c r="P23" i="2" s="1"/>
  <c r="K24" i="2"/>
  <c r="P24" i="2" s="1"/>
  <c r="K25" i="2"/>
  <c r="P25" i="2" s="1"/>
  <c r="K26" i="2"/>
  <c r="P26" i="2" s="1"/>
  <c r="K27" i="2"/>
  <c r="P27" i="2" s="1"/>
  <c r="K28" i="2"/>
  <c r="P28" i="2" s="1"/>
  <c r="K29" i="2"/>
  <c r="P29" i="2" s="1"/>
  <c r="K30" i="2"/>
  <c r="P30" i="2" s="1"/>
  <c r="K31" i="2"/>
  <c r="P31" i="2" s="1"/>
  <c r="K32" i="2"/>
  <c r="P32" i="2" s="1"/>
  <c r="J2" i="2"/>
  <c r="G2" i="2"/>
  <c r="G3" i="2"/>
  <c r="G4" i="2"/>
  <c r="G5" i="2"/>
  <c r="G7" i="2"/>
  <c r="G8" i="2"/>
  <c r="G9" i="2"/>
  <c r="G10" i="2"/>
  <c r="G11" i="2"/>
  <c r="G12" i="2"/>
  <c r="G15" i="2"/>
  <c r="G16" i="2"/>
  <c r="G17" i="2"/>
  <c r="G18" i="2"/>
  <c r="G19" i="2"/>
  <c r="G20" i="2"/>
  <c r="G21" i="2"/>
  <c r="G22" i="2"/>
  <c r="G23" i="2"/>
  <c r="G25" i="2"/>
  <c r="G26" i="2"/>
  <c r="G27" i="2"/>
  <c r="G28" i="2"/>
  <c r="G29" i="2"/>
  <c r="G30" i="2"/>
  <c r="G31" i="2"/>
  <c r="G3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H4" i="2"/>
  <c r="I4" i="2"/>
  <c r="J4" i="2"/>
  <c r="L4" i="2"/>
  <c r="M4" i="2"/>
  <c r="H5" i="2"/>
  <c r="I5" i="2"/>
  <c r="J5" i="2"/>
  <c r="L5" i="2"/>
  <c r="M5" i="2"/>
  <c r="H6" i="2"/>
  <c r="I6" i="2"/>
  <c r="J6" i="2"/>
  <c r="L6" i="2"/>
  <c r="M6" i="2"/>
  <c r="H7" i="2"/>
  <c r="I7" i="2"/>
  <c r="J7" i="2"/>
  <c r="L7" i="2"/>
  <c r="M7" i="2"/>
  <c r="H8" i="2"/>
  <c r="I8" i="2"/>
  <c r="J8" i="2"/>
  <c r="L8" i="2"/>
  <c r="M8" i="2"/>
  <c r="H9" i="2"/>
  <c r="I9" i="2"/>
  <c r="J9" i="2"/>
  <c r="L9" i="2"/>
  <c r="M9" i="2"/>
  <c r="H10" i="2"/>
  <c r="I10" i="2"/>
  <c r="J10" i="2"/>
  <c r="L10" i="2"/>
  <c r="M10" i="2"/>
  <c r="H11" i="2"/>
  <c r="I11" i="2"/>
  <c r="J11" i="2"/>
  <c r="L11" i="2"/>
  <c r="M11" i="2"/>
  <c r="H12" i="2"/>
  <c r="I12" i="2"/>
  <c r="J12" i="2"/>
  <c r="L12" i="2"/>
  <c r="M12" i="2"/>
  <c r="H13" i="2"/>
  <c r="I13" i="2"/>
  <c r="J13" i="2"/>
  <c r="L13" i="2"/>
  <c r="M13" i="2"/>
  <c r="H14" i="2"/>
  <c r="I14" i="2"/>
  <c r="J14" i="2"/>
  <c r="L14" i="2"/>
  <c r="M14" i="2"/>
  <c r="H15" i="2"/>
  <c r="I15" i="2"/>
  <c r="J15" i="2"/>
  <c r="L15" i="2"/>
  <c r="M15" i="2"/>
  <c r="H16" i="2"/>
  <c r="I16" i="2"/>
  <c r="J16" i="2"/>
  <c r="L16" i="2"/>
  <c r="M16" i="2"/>
  <c r="H17" i="2"/>
  <c r="I17" i="2"/>
  <c r="J17" i="2"/>
  <c r="L17" i="2"/>
  <c r="M17" i="2"/>
  <c r="H18" i="2"/>
  <c r="I18" i="2"/>
  <c r="J18" i="2"/>
  <c r="L18" i="2"/>
  <c r="M18" i="2"/>
  <c r="H19" i="2"/>
  <c r="I19" i="2"/>
  <c r="J19" i="2"/>
  <c r="L19" i="2"/>
  <c r="M19" i="2"/>
  <c r="H20" i="2"/>
  <c r="I20" i="2"/>
  <c r="J20" i="2"/>
  <c r="L20" i="2"/>
  <c r="M20" i="2"/>
  <c r="H21" i="2"/>
  <c r="I21" i="2"/>
  <c r="J21" i="2"/>
  <c r="L21" i="2"/>
  <c r="M21" i="2"/>
  <c r="H22" i="2"/>
  <c r="I22" i="2"/>
  <c r="J22" i="2"/>
  <c r="L22" i="2"/>
  <c r="M22" i="2"/>
  <c r="H23" i="2"/>
  <c r="I23" i="2"/>
  <c r="J23" i="2"/>
  <c r="L23" i="2"/>
  <c r="M23" i="2"/>
  <c r="H24" i="2"/>
  <c r="I24" i="2"/>
  <c r="J24" i="2"/>
  <c r="L24" i="2"/>
  <c r="M24" i="2"/>
  <c r="H25" i="2"/>
  <c r="I25" i="2"/>
  <c r="J25" i="2"/>
  <c r="L25" i="2"/>
  <c r="M25" i="2"/>
  <c r="H26" i="2"/>
  <c r="I26" i="2"/>
  <c r="J26" i="2"/>
  <c r="L26" i="2"/>
  <c r="M26" i="2"/>
  <c r="H27" i="2"/>
  <c r="I27" i="2"/>
  <c r="J27" i="2"/>
  <c r="L27" i="2"/>
  <c r="M27" i="2"/>
  <c r="H28" i="2"/>
  <c r="I28" i="2"/>
  <c r="J28" i="2"/>
  <c r="L28" i="2"/>
  <c r="M28" i="2"/>
  <c r="H29" i="2"/>
  <c r="I29" i="2"/>
  <c r="J29" i="2"/>
  <c r="L29" i="2"/>
  <c r="M29" i="2"/>
  <c r="H30" i="2"/>
  <c r="I30" i="2"/>
  <c r="J30" i="2"/>
  <c r="L30" i="2"/>
  <c r="M30" i="2"/>
  <c r="H31" i="2"/>
  <c r="I31" i="2"/>
  <c r="J31" i="2"/>
  <c r="L31" i="2"/>
  <c r="M31" i="2"/>
  <c r="H32" i="2"/>
  <c r="I32" i="2"/>
  <c r="J32" i="2"/>
  <c r="L32" i="2"/>
  <c r="M32" i="2"/>
  <c r="J3" i="2"/>
  <c r="M3" i="2"/>
  <c r="L2" i="2"/>
  <c r="L3" i="2"/>
  <c r="I2" i="2"/>
  <c r="I3" i="2"/>
  <c r="H2" i="2"/>
  <c r="H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tc={7FF61D65-A57A-48E5-901A-3D998E281B16}</author>
    <author>tc={2349E606-2E34-4DC5-8DD3-4374E9952E47}</author>
    <author>tc={D06380AA-C7CC-4308-8803-4BC6AA1E5381}</author>
    <author>tc={E9C9162D-73D3-48D6-ADE4-D2749C192777}</author>
    <author>tc={7F0BC4CE-364F-4C64-9F75-EB0D9B8F85A4}</author>
    <author>tc={6F9500F7-5ACE-4D7D-AE26-B4FD71658E3D}</author>
    <author>tc={635BFA8A-1664-4F44-8063-E13E13AD996A}</author>
    <author>tc={A437C532-EC80-4854-BB54-3C0F015A5F6C}</author>
  </authors>
  <commentList>
    <comment ref="A1" authorId="0" shapeId="0" xr:uid="{7FF61D65-A57A-48E5-901A-3D998E281B16}">
      <text>
        <t>[Threaded comment]
Your version of Excel allows you to read this threaded comment; however, any edits to it will get removed if the file is opened in a newer version of Excel. Learn more: https://go.microsoft.com/fwlink/?linkid=870924
Comment:
    17-JUN-IN
16-APR-ES
21-AUG-CA
21-AUG-CA
16-APR-ES
17-JUN-IN  
Duplicating values removed</t>
      </text>
    </comment>
    <comment ref="D7" authorId="1" shapeId="0" xr:uid="{2349E606-2E34-4DC5-8DD3-4374E9952E47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value</t>
      </text>
    </comment>
    <comment ref="F7" authorId="2" shapeId="0" xr:uid="{D06380AA-C7CC-4308-8803-4BC6AA1E538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CS because of missing characters in electronics</t>
      </text>
    </comment>
    <comment ref="F15" authorId="3" shapeId="0" xr:uid="{E9C9162D-73D3-48D6-ADE4-D2749C19277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CS because of missing characters in electronics</t>
      </text>
    </comment>
    <comment ref="F16" authorId="4" shapeId="0" xr:uid="{7F0BC4CE-364F-4C64-9F75-EB0D9B8F85A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CS because of missing characters in electronics</t>
      </text>
    </comment>
    <comment ref="F18" authorId="5" shapeId="0" xr:uid="{6F9500F7-5ACE-4D7D-AE26-B4FD71658E3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CS because of missing characters in electronics</t>
      </text>
    </comment>
    <comment ref="D21" authorId="6" shapeId="0" xr:uid="{635BFA8A-1664-4F44-8063-E13E13AD996A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value and replaced the value</t>
      </text>
    </comment>
    <comment ref="D26" authorId="7" shapeId="0" xr:uid="{A437C532-EC80-4854-BB54-3C0F015A5F6C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value and replcaed</t>
      </text>
    </comment>
  </commentList>
</comments>
</file>

<file path=xl/sharedStrings.xml><?xml version="1.0" encoding="utf-8"?>
<sst xmlns="http://schemas.openxmlformats.org/spreadsheetml/2006/main" count="160" uniqueCount="126">
  <si>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</si>
  <si>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</si>
  <si>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</si>
  <si>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</si>
  <si>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</si>
  <si>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</si>
  <si>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</si>
  <si>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</si>
  <si>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</si>
  <si>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</si>
  <si>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</si>
  <si>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</si>
  <si>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</si>
  <si>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</si>
  <si>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</si>
  <si>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</si>
  <si>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</si>
  <si>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</si>
  <si>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</si>
  <si>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</si>
  <si>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</si>
  <si>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</si>
  <si>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</si>
  <si>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</si>
  <si>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</si>
  <si>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</si>
  <si>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</si>
  <si>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</si>
  <si>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</si>
  <si>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</si>
  <si>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</si>
  <si>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</si>
  <si>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</si>
  <si>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</si>
  <si>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</si>
  <si>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</si>
  <si>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</si>
  <si>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</si>
  <si>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</si>
  <si>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</si>
  <si>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</si>
  <si>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</si>
  <si>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</si>
  <si>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</si>
  <si>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</si>
  <si>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</si>
  <si>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</si>
  <si>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</si>
  <si>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</si>
  <si>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</si>
  <si>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</si>
  <si>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</si>
  <si>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</si>
  <si>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</si>
  <si>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</si>
  <si>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</si>
  <si>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</si>
  <si>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</si>
  <si>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</si>
  <si>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</si>
  <si>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</si>
  <si>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</si>
  <si>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</si>
  <si>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</si>
  <si>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</si>
  <si>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</si>
  <si>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</si>
  <si>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</si>
  <si>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</si>
  <si>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</si>
  <si>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</si>
  <si>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</si>
  <si>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</si>
  <si>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</si>
  <si>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</si>
  <si>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</si>
  <si>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</si>
  <si>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</si>
  <si>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</si>
  <si>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</si>
  <si>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</si>
  <si>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</si>
  <si>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</si>
  <si>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</si>
  <si>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</si>
  <si>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</si>
  <si>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</si>
  <si>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</si>
  <si>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</si>
  <si>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</si>
  <si>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</si>
  <si>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</si>
  <si>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</si>
  <si>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</si>
  <si>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</si>
  <si>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</si>
  <si>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</si>
  <si>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</si>
  <si>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</si>
  <si>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</si>
  <si>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</si>
  <si>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</si>
  <si>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</si>
  <si>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</si>
  <si>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</si>
  <si>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</si>
  <si>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</si>
  <si>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</si>
  <si>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</si>
  <si>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</si>
  <si>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</si>
  <si>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</si>
  <si>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</si>
  <si>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</si>
  <si>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</si>
  <si>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Category proper case</t>
  </si>
  <si>
    <t>Category_typo correction</t>
  </si>
  <si>
    <t>manufacturing date</t>
  </si>
  <si>
    <t>country code</t>
  </si>
  <si>
    <t>product brand</t>
  </si>
  <si>
    <t>Unkown added for missing categories</t>
  </si>
  <si>
    <t>Unkown added for missing Prices</t>
  </si>
  <si>
    <t>We use filters to find out the missing values or conditional formating</t>
  </si>
  <si>
    <t>Proper case of product name</t>
  </si>
  <si>
    <t>Product name misspellings</t>
  </si>
  <si>
    <t>Manufacturing date with DD-MM-YYYY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</si>
</sst>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9" formatCode="[$$-1009]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rgb="FFE0F7FA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9" fillId="2" borderId="0" xfId="0" applyFont="1" applyFill="1" applyAlignment="1">
      <alignment horizontal="left"/>
    </xf>
    <xf numFmtId="0" fontId="8" fillId="3" borderId="0" xfId="0" applyFont="1" applyFill="1" applyAlignment="1">
      <alignment horizontal="left" vertical="center"/>
    </xf>
    <xf numFmtId="164" fontId="8" fillId="3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 wrapText="1"/>
    </xf>
    <xf numFmtId="0" fontId="8" fillId="4" borderId="0" xfId="0" applyFont="1" applyFill="1" applyAlignment="1">
      <alignment horizontal="left"/>
    </xf>
    <xf numFmtId="0" fontId="3" fillId="5" borderId="0" xfId="0" applyFont="1" applyFill="1"/>
    <xf numFmtId="169" fontId="7" fillId="2" borderId="0" xfId="0" applyNumberFormat="1" applyFont="1" applyFill="1" applyAlignment="1">
      <alignment horizontal="left"/>
    </xf>
    <xf numFmtId="169" fontId="8" fillId="3" borderId="0" xfId="0" applyNumberFormat="1" applyFont="1" applyFill="1" applyAlignment="1">
      <alignment horizontal="left"/>
    </xf>
    <xf numFmtId="169" fontId="8" fillId="4" borderId="0" xfId="0" applyNumberFormat="1" applyFont="1" applyFill="1" applyAlignment="1">
      <alignment horizontal="left"/>
    </xf>
    <xf numFmtId="169" fontId="8" fillId="4" borderId="1" xfId="0" applyNumberFormat="1" applyFont="1" applyFill="1" applyBorder="1" applyAlignment="1">
      <alignment horizontal="left"/>
    </xf>
    <xf numFmtId="16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9" fillId="2" borderId="0" xfId="0" applyNumberFormat="1" applyFont="1" applyFill="1" applyAlignment="1">
      <alignment horizontal="left"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14009]dd/mm/yyyy;@"/>
      <fill>
        <patternFill patternType="solid">
          <fgColor rgb="FFE0F7FA"/>
          <bgColor rgb="FFE0F7FA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9" formatCode="[$$-1009]#,##0.00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14009]dd/mm/yyyy;@"/>
      <fill>
        <patternFill patternType="solid">
          <fgColor rgb="FFE0F7FA"/>
          <bgColor rgb="FFE0F7FA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u Pothuganti" id="{1B9452F1-C28B-4200-9169-80073FE6A637}" userId="a79780b92ec81b4c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3534C-5004-439F-ADFD-46377CAA3D5E}" name="Productdata" displayName="Productdata" ref="A1:P32" totalsRowShown="0" headerRowDxfId="23" dataDxfId="22">
  <autoFilter ref="A1:P32" xr:uid="{B1C3534C-5004-439F-ADFD-46377CAA3D5E}"/>
  <tableColumns count="16">
    <tableColumn id="1" xr3:uid="{5CC0A085-09BD-4EB0-BADC-496BE27FF97C}" name="Product ID" dataDxfId="21"/>
    <tableColumn id="2" xr3:uid="{DB118CDF-41E4-419B-B7A5-1AE118854D28}" name="Product Name" dataDxfId="20"/>
    <tableColumn id="3" xr3:uid="{D94EAA2C-AB42-4260-A1BD-FB756A036D41}" name="Brand Name" dataDxfId="19"/>
    <tableColumn id="4" xr3:uid="{594EE5F8-513A-49D6-B8B9-DE2ABBD6006D}" name="Price ($)" dataDxfId="7"/>
    <tableColumn id="5" xr3:uid="{5C5D4F72-229C-4170-8E4A-DDF3861ED6F6}" name="Quantity" dataDxfId="18"/>
    <tableColumn id="6" xr3:uid="{DF8ADEDB-1176-4A6F-9D67-8BCAC24BD1A4}" name="Category" dataDxfId="17"/>
    <tableColumn id="9" xr3:uid="{EAE5F84D-DEFF-4511-B983-1AFCAF976A12}" name="Category_typo correction" dataDxfId="16">
      <calculatedColumnFormula>IF(ISBLANK(F2), "Electronics", F2)</calculatedColumnFormula>
    </tableColumn>
    <tableColumn id="10" xr3:uid="{B808387F-7141-4ED5-9DAE-1BCDE8084A12}" name="Proper case of product name" dataDxfId="15">
      <calculatedColumnFormula>PROPER(Productdata[[#This Row],[Product Name]])</calculatedColumnFormula>
    </tableColumn>
    <tableColumn id="11" xr3:uid="{2F9A2B46-5C6B-41A3-BEDA-D4CC582169B2}" name="Category proper case" dataDxfId="14">
      <calculatedColumnFormula>PROPER(Productdata[[#This Row],[Category]])</calculatedColumnFormula>
    </tableColumn>
    <tableColumn id="12" xr3:uid="{B36CF243-A5E3-4CD7-9718-37E89611073A}" name="Product name misspellings" dataDxfId="13">
      <calculatedColumnFormula>PROPER(TRIM(Productdata[[#This Row],[Product Name]]))</calculatedColumnFormula>
    </tableColumn>
    <tableColumn id="13" xr3:uid="{3457198F-5379-4CC2-9D55-95AD5E048BD1}" name="manufacturing date" dataDxfId="8">
      <calculatedColumnFormula>LEFT(Productdata[[#This Row],[Product ID]],6)</calculatedColumnFormula>
    </tableColumn>
    <tableColumn id="14" xr3:uid="{E69486B4-262F-42A7-B3F3-6BFA55C5CD85}" name="country code" dataDxfId="12">
      <calculatedColumnFormula>RIGHT(Productdata[[#This Row],[Product ID]],2)</calculatedColumnFormula>
    </tableColumn>
    <tableColumn id="15" xr3:uid="{2E274554-5429-4C6E-AFB5-0F7A893D7C7F}" name="product brand" dataDxfId="11">
      <calculatedColumnFormula>C2 &amp; " " &amp; B2</calculatedColumnFormula>
    </tableColumn>
    <tableColumn id="21" xr3:uid="{B1B2A1B6-7FB2-4D8F-8335-DE746E2FB307}" name="Unkown added for missing categories" dataDxfId="10">
      <calculatedColumnFormula>IF(ISBLANK(F2),"Unknown",F2)</calculatedColumnFormula>
    </tableColumn>
    <tableColumn id="22" xr3:uid="{CCA01945-3543-464D-9834-78C63E9343C5}" name="Unkown added for missing Prices" dataDxfId="9">
      <calculatedColumnFormula>IF(ISBLANK(D2),"Unknown",D2)</calculatedColumnFormula>
    </tableColumn>
    <tableColumn id="7" xr3:uid="{739A767C-80E4-4F01-A8F2-EB5AF3B291BB}" name="Manufacturing date with DD-MM-YYYY" dataDxfId="6">
      <calculatedColumnFormula>DATEVALUE(K2&amp;"-2026")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09T06:43:21.12" personId="{1B9452F1-C28B-4200-9169-80073FE6A637}" id="{7FF61D65-A57A-48E5-901A-3D998E281B16}">
    <text>17-JUN-IN
16-APR-ES
21-AUG-CA
21-AUG-CA
16-APR-ES
17-JUN-IN  
Duplicating values removed</text>
  </threadedComment>
  <threadedComment ref="D7" dT="2026-07-09T06:59:00.76" personId="{1B9452F1-C28B-4200-9169-80073FE6A637}" id="{2349E606-2E34-4DC5-8DD3-4374E9952E47}">
    <text>Missing value</text>
  </threadedComment>
  <threadedComment ref="F7" dT="2026-07-09T06:36:31.28" personId="{1B9452F1-C28B-4200-9169-80073FE6A637}" id="{D06380AA-C7CC-4308-8803-4BC6AA1E5381}">
    <text>Added CS because of missing characters in electronics</text>
  </threadedComment>
  <threadedComment ref="F15" dT="2026-07-09T06:36:44.08" personId="{1B9452F1-C28B-4200-9169-80073FE6A637}" id="{E9C9162D-73D3-48D6-ADE4-D2749C192777}">
    <text>Added CS because of missing characters in electronics</text>
  </threadedComment>
  <threadedComment ref="F16" dT="2026-07-09T06:36:52.86" personId="{1B9452F1-C28B-4200-9169-80073FE6A637}" id="{7F0BC4CE-364F-4C64-9F75-EB0D9B8F85A4}">
    <text>Added CS because of missing characters in electronics</text>
  </threadedComment>
  <threadedComment ref="F18" dT="2026-07-09T06:37:04.43" personId="{1B9452F1-C28B-4200-9169-80073FE6A637}" id="{6F9500F7-5ACE-4D7D-AE26-B4FD71658E3D}">
    <text>Added CS because of missing characters in electronics</text>
  </threadedComment>
  <threadedComment ref="D21" dT="2026-07-09T06:59:32.62" personId="{1B9452F1-C28B-4200-9169-80073FE6A637}" id="{635BFA8A-1664-4F44-8063-E13E13AD996A}">
    <text>Missing value and replaced the value</text>
  </threadedComment>
  <threadedComment ref="D26" dT="2026-07-09T06:59:51.62" personId="{1B9452F1-C28B-4200-9169-80073FE6A637}" id="{A437C532-EC80-4854-BB54-3C0F015A5F6C}">
    <text>Missing value and replcaed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showGridLines="0" workbookViewId="0">
      <selection activeCell="C10" sqref="C10"/>
    </sheetView>
  </sheetViews>
  <sheetFormatPr defaultColWidth="12.6640625" defaultRowHeight="15" customHeight="1" x14ac:dyDescent="0.25"/>
  <cols>
    <col min="1" max="1" width="61.109375" bestFit="1" customWidth="1"/>
    <col min="2" max="2" width="7.44140625" customWidth="1"/>
    <col min="3" max="6" width="12.6640625" customWidth="1"/>
    <col min="11" max="11" width="36.77734375" customWidth="1"/>
  </cols>
  <sheetData>
    <row r="1" spans="1:12" ht="15.75" customHeight="1" x14ac:dyDescent="0.25">
      <c r="A1" s="1" t="s">
        <v>0</v>
      </c>
    </row>
    <row r="2" spans="1:12" ht="15.75" customHeight="1" x14ac:dyDescent="0.25"/>
    <row r="3" spans="1:12" ht="15.75" customHeight="1" x14ac:dyDescent="0.3">
      <c r="B3" s="2" t="s">
        <v>1</v>
      </c>
    </row>
    <row r="4" spans="1:12" ht="15.75" customHeight="1" x14ac:dyDescent="0.3">
      <c r="C4" s="15" t="s">
        <v>2</v>
      </c>
      <c r="L4" t="s">
        <v>122</v>
      </c>
    </row>
    <row r="5" spans="1:12" ht="15.75" customHeight="1" x14ac:dyDescent="0.3">
      <c r="B5" s="4"/>
      <c r="C5" s="15" t="s">
        <v>3</v>
      </c>
    </row>
    <row r="6" spans="1:12" ht="15.75" customHeight="1" x14ac:dyDescent="0.3">
      <c r="B6" s="4"/>
    </row>
    <row r="7" spans="1:12" ht="15.75" customHeight="1" x14ac:dyDescent="0.3">
      <c r="B7" s="2" t="s">
        <v>4</v>
      </c>
    </row>
    <row r="8" spans="1:12" ht="15.75" customHeight="1" x14ac:dyDescent="0.3">
      <c r="C8" s="15" t="s">
        <v>5</v>
      </c>
    </row>
    <row r="9" spans="1:12" ht="15.75" customHeight="1" x14ac:dyDescent="0.3">
      <c r="C9" s="15" t="s">
        <v>6</v>
      </c>
    </row>
    <row r="10" spans="1:12" ht="15.75" customHeight="1" x14ac:dyDescent="0.3">
      <c r="C10" s="15" t="s">
        <v>7</v>
      </c>
    </row>
    <row r="11" spans="1:12" ht="15.75" customHeight="1" x14ac:dyDescent="0.3">
      <c r="B11" s="4"/>
    </row>
    <row r="12" spans="1:12" ht="15.75" customHeight="1" x14ac:dyDescent="0.3">
      <c r="B12" s="2" t="s">
        <v>8</v>
      </c>
    </row>
    <row r="13" spans="1:12" ht="15.75" customHeight="1" x14ac:dyDescent="0.3">
      <c r="B13" s="2"/>
      <c r="C13" s="15" t="s">
        <v>9</v>
      </c>
    </row>
    <row r="14" spans="1:12" ht="15.75" customHeight="1" x14ac:dyDescent="0.25"/>
    <row r="15" spans="1:12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2" ht="15.75" customHeight="1" x14ac:dyDescent="0.3">
      <c r="B16" s="5"/>
      <c r="C16" s="15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15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15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15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15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15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7"/>
  <sheetViews>
    <sheetView tabSelected="1" topLeftCell="H1" workbookViewId="0">
      <selection activeCell="N18" sqref="N18"/>
    </sheetView>
  </sheetViews>
  <sheetFormatPr defaultColWidth="12.6640625" defaultRowHeight="15" customHeight="1" x14ac:dyDescent="0.25"/>
  <cols>
    <col min="1" max="1" width="12.6640625" style="9" customWidth="1"/>
    <col min="2" max="2" width="15.33203125" style="9" customWidth="1"/>
    <col min="3" max="3" width="13.6640625" style="9" customWidth="1"/>
    <col min="4" max="4" width="12.6640625" style="20" customWidth="1"/>
    <col min="5" max="6" width="12.6640625" style="9" customWidth="1"/>
    <col min="7" max="7" width="22.21875" style="9" customWidth="1"/>
    <col min="8" max="8" width="26.5546875" style="9" customWidth="1"/>
    <col min="9" max="9" width="12.6640625" style="9"/>
    <col min="10" max="10" width="24.6640625" style="9" bestFit="1" customWidth="1"/>
    <col min="11" max="12" width="12.6640625" style="9"/>
    <col min="13" max="13" width="21.44140625" style="9" bestFit="1" customWidth="1"/>
    <col min="14" max="14" width="19.77734375" style="9" bestFit="1" customWidth="1"/>
    <col min="15" max="15" width="18.6640625" style="9" customWidth="1"/>
    <col min="16" max="16" width="12.6640625" style="21"/>
    <col min="17" max="16384" width="12.6640625" style="9"/>
  </cols>
  <sheetData>
    <row r="1" spans="1:16" ht="38.4" customHeight="1" x14ac:dyDescent="0.25">
      <c r="A1" s="7" t="s">
        <v>19</v>
      </c>
      <c r="B1" s="7" t="s">
        <v>20</v>
      </c>
      <c r="C1" s="7" t="s">
        <v>21</v>
      </c>
      <c r="D1" s="16" t="s">
        <v>22</v>
      </c>
      <c r="E1" s="7" t="s">
        <v>23</v>
      </c>
      <c r="F1" s="7" t="s">
        <v>24</v>
      </c>
      <c r="G1" s="10" t="s">
        <v>116</v>
      </c>
      <c r="H1" s="10" t="s">
        <v>123</v>
      </c>
      <c r="I1" s="10" t="s">
        <v>115</v>
      </c>
      <c r="J1" s="10" t="s">
        <v>124</v>
      </c>
      <c r="K1" s="10" t="s">
        <v>117</v>
      </c>
      <c r="L1" s="10" t="s">
        <v>118</v>
      </c>
      <c r="M1" s="10" t="s">
        <v>119</v>
      </c>
      <c r="N1" s="13" t="s">
        <v>120</v>
      </c>
      <c r="O1" s="13" t="s">
        <v>121</v>
      </c>
      <c r="P1" s="22" t="s">
        <v>125</v>
      </c>
    </row>
    <row r="2" spans="1:16" ht="15.75" customHeight="1" x14ac:dyDescent="0.25">
      <c r="A2" s="8" t="s">
        <v>25</v>
      </c>
      <c r="B2" s="8" t="s">
        <v>26</v>
      </c>
      <c r="C2" s="8" t="s">
        <v>27</v>
      </c>
      <c r="D2" s="17">
        <v>1000</v>
      </c>
      <c r="E2" s="8">
        <v>30</v>
      </c>
      <c r="F2" s="8" t="s">
        <v>28</v>
      </c>
      <c r="G2" s="8" t="str">
        <f>IF(ISBLANK(F2), "Electronics", F2)</f>
        <v>Electronics</v>
      </c>
      <c r="H2" s="8" t="str">
        <f>PROPER(Productdata[[#This Row],[Product Name]])</f>
        <v>Laptop</v>
      </c>
      <c r="I2" s="8" t="str">
        <f>PROPER(Productdata[[#This Row],[Category]])</f>
        <v>Electronics</v>
      </c>
      <c r="J2" s="8" t="str">
        <f>PROPER(TRIM(Productdata[[#This Row],[Product Name]]))</f>
        <v>Laptop</v>
      </c>
      <c r="K2" s="12" t="str">
        <f>LEFT(Productdata[[#This Row],[Product ID]],6)</f>
        <v>28-JAN</v>
      </c>
      <c r="L2" s="8" t="str">
        <f>RIGHT(Productdata[[#This Row],[Product ID]],2)</f>
        <v>US</v>
      </c>
      <c r="M2" s="8" t="str">
        <f>C2 &amp; " " &amp; B2</f>
        <v>Dell laptop</v>
      </c>
      <c r="N2" s="11" t="str">
        <f>IF(ISBLANK(F2),"Unknown",F2)</f>
        <v>Electronics</v>
      </c>
      <c r="O2" s="8">
        <f t="shared" ref="O2:O32" si="0">IF(ISBLANK(D2),"Unknown",D2)</f>
        <v>1000</v>
      </c>
      <c r="P2" s="12">
        <f>DATEVALUE(K2&amp;"-2026")</f>
        <v>46050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17">
        <v>80</v>
      </c>
      <c r="E3" s="8">
        <v>15</v>
      </c>
      <c r="F3" s="8" t="s">
        <v>32</v>
      </c>
      <c r="G3" s="8" t="str">
        <f>IF(ISBLANK(F3), "Electronics", F3)</f>
        <v>Fashion</v>
      </c>
      <c r="H3" s="8" t="str">
        <f>PROPER(Productdata[[#This Row],[Product Name]])</f>
        <v>Sneakers</v>
      </c>
      <c r="I3" s="8" t="str">
        <f>PROPER(Productdata[[#This Row],[Category]])</f>
        <v>Fashion</v>
      </c>
      <c r="J3" s="8" t="str">
        <f>PROPER(TRIM(Productdata[[#This Row],[Product Name]]))</f>
        <v>Sneakers</v>
      </c>
      <c r="K3" s="12" t="str">
        <f>LEFT(Productdata[[#This Row],[Product ID]],6)</f>
        <v>15-FEB</v>
      </c>
      <c r="L3" s="8" t="str">
        <f>RIGHT(Productdata[[#This Row],[Product ID]],2)</f>
        <v>US</v>
      </c>
      <c r="M3" s="8" t="str">
        <f t="shared" ref="M3:M32" si="1">C3 &amp; " " &amp; B3</f>
        <v>Nike Sneakers</v>
      </c>
      <c r="N3" s="8" t="str">
        <f t="shared" ref="N3:N32" si="2">IF(ISBLANK(F3),"Unknown",F3)</f>
        <v>Fashion</v>
      </c>
      <c r="O3" s="8">
        <f t="shared" si="0"/>
        <v>80</v>
      </c>
      <c r="P3" s="12">
        <f>DATEVALUE(K3&amp;"-2026")</f>
        <v>46068</v>
      </c>
    </row>
    <row r="4" spans="1:16" ht="15.75" customHeight="1" x14ac:dyDescent="0.25">
      <c r="A4" s="8" t="s">
        <v>33</v>
      </c>
      <c r="B4" s="8" t="s">
        <v>34</v>
      </c>
      <c r="C4" s="8" t="s">
        <v>35</v>
      </c>
      <c r="D4" s="17">
        <v>130</v>
      </c>
      <c r="E4" s="8">
        <v>40</v>
      </c>
      <c r="F4" s="8" t="s">
        <v>36</v>
      </c>
      <c r="G4" s="8" t="str">
        <f>IF(ISBLANK(F4), "Electronics", F4)</f>
        <v>Kitchen</v>
      </c>
      <c r="H4" s="8" t="str">
        <f>PROPER(Productdata[[#This Row],[Product Name]])</f>
        <v>Coffee Maker</v>
      </c>
      <c r="I4" s="8" t="str">
        <f>PROPER(Productdata[[#This Row],[Category]])</f>
        <v>Kitchen</v>
      </c>
      <c r="J4" s="8" t="str">
        <f>PROPER(TRIM(Productdata[[#This Row],[Product Name]]))</f>
        <v>Coffee Maker</v>
      </c>
      <c r="K4" s="12" t="str">
        <f>LEFT(Productdata[[#This Row],[Product ID]],6)</f>
        <v>03-MAR</v>
      </c>
      <c r="L4" s="8" t="str">
        <f>RIGHT(Productdata[[#This Row],[Product ID]],2)</f>
        <v>US</v>
      </c>
      <c r="M4" s="8" t="str">
        <f t="shared" si="1"/>
        <v>Keurig Coffee Maker</v>
      </c>
      <c r="N4" s="8" t="str">
        <f t="shared" si="2"/>
        <v>Kitchen</v>
      </c>
      <c r="O4" s="8">
        <f t="shared" si="0"/>
        <v>130</v>
      </c>
      <c r="P4" s="12">
        <f>DATEVALUE(K4&amp;"-2026")</f>
        <v>46084</v>
      </c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17">
        <v>900</v>
      </c>
      <c r="E5" s="8">
        <v>25</v>
      </c>
      <c r="F5" s="8" t="s">
        <v>28</v>
      </c>
      <c r="G5" s="8" t="str">
        <f>IF(ISBLANK(F5), "Electronics", F5)</f>
        <v>Electronics</v>
      </c>
      <c r="H5" s="8" t="str">
        <f>PROPER(Productdata[[#This Row],[Product Name]])</f>
        <v>Smartphone</v>
      </c>
      <c r="I5" s="8" t="str">
        <f>PROPER(Productdata[[#This Row],[Category]])</f>
        <v>Electronics</v>
      </c>
      <c r="J5" s="8" t="str">
        <f>PROPER(TRIM(Productdata[[#This Row],[Product Name]]))</f>
        <v>Smartphone</v>
      </c>
      <c r="K5" s="12" t="str">
        <f>LEFT(Productdata[[#This Row],[Product ID]],6)</f>
        <v>11-APR</v>
      </c>
      <c r="L5" s="8" t="str">
        <f>RIGHT(Productdata[[#This Row],[Product ID]],2)</f>
        <v>US</v>
      </c>
      <c r="M5" s="8" t="str">
        <f t="shared" si="1"/>
        <v>Samsung smartphone</v>
      </c>
      <c r="N5" s="8" t="str">
        <f t="shared" si="2"/>
        <v>Electronics</v>
      </c>
      <c r="O5" s="8">
        <f t="shared" si="0"/>
        <v>900</v>
      </c>
      <c r="P5" s="12">
        <f>DATEVALUE(K5&amp;"-2026")</f>
        <v>46123</v>
      </c>
    </row>
    <row r="6" spans="1:16" ht="15.75" customHeight="1" x14ac:dyDescent="0.25">
      <c r="A6" s="8" t="s">
        <v>40</v>
      </c>
      <c r="B6" s="8" t="s">
        <v>41</v>
      </c>
      <c r="C6" s="8" t="s">
        <v>42</v>
      </c>
      <c r="D6" s="17">
        <v>70</v>
      </c>
      <c r="E6" s="8">
        <v>20</v>
      </c>
      <c r="F6" s="14" t="s">
        <v>58</v>
      </c>
      <c r="G6" s="8"/>
      <c r="H6" s="8" t="str">
        <f>PROPER(Productdata[[#This Row],[Product Name]])</f>
        <v>Backpack</v>
      </c>
      <c r="I6" s="8" t="str">
        <f>PROPER(Productdata[[#This Row],[Category]])</f>
        <v>Outdoor</v>
      </c>
      <c r="J6" s="8" t="str">
        <f>PROPER(TRIM(Productdata[[#This Row],[Product Name]]))</f>
        <v>Backpack</v>
      </c>
      <c r="K6" s="12" t="str">
        <f>LEFT(Productdata[[#This Row],[Product ID]],6)</f>
        <v>22-MAY</v>
      </c>
      <c r="L6" s="8" t="str">
        <f>RIGHT(Productdata[[#This Row],[Product ID]],2)</f>
        <v>US</v>
      </c>
      <c r="M6" s="8" t="str">
        <f t="shared" si="1"/>
        <v>North Face Backpack</v>
      </c>
      <c r="N6" s="8" t="str">
        <f t="shared" si="2"/>
        <v>Outdoor</v>
      </c>
      <c r="O6" s="8">
        <f t="shared" si="0"/>
        <v>70</v>
      </c>
      <c r="P6" s="12">
        <f>DATEVALUE(K6&amp;"-2026")</f>
        <v>46164</v>
      </c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18">
        <v>52</v>
      </c>
      <c r="E7" s="8">
        <v>45</v>
      </c>
      <c r="F7" s="14" t="s">
        <v>28</v>
      </c>
      <c r="G7" s="8" t="str">
        <f>IF(ISBLANK(F7), "Electronicscs", F7)</f>
        <v>Electronics</v>
      </c>
      <c r="H7" s="8" t="str">
        <f>PROPER(Productdata[[#This Row],[Product Name]])</f>
        <v>Headphones</v>
      </c>
      <c r="I7" s="8" t="str">
        <f>PROPER(Productdata[[#This Row],[Category]])</f>
        <v>Electronics</v>
      </c>
      <c r="J7" s="8" t="str">
        <f>PROPER(TRIM(Productdata[[#This Row],[Product Name]]))</f>
        <v>Headphones</v>
      </c>
      <c r="K7" s="12" t="str">
        <f>LEFT(Productdata[[#This Row],[Product ID]],6)</f>
        <v>07-JUN</v>
      </c>
      <c r="L7" s="8" t="str">
        <f>RIGHT(Productdata[[#This Row],[Product ID]],2)</f>
        <v>UK</v>
      </c>
      <c r="M7" s="8" t="str">
        <f t="shared" si="1"/>
        <v>Sony Headphones</v>
      </c>
      <c r="N7" s="8" t="str">
        <f t="shared" si="2"/>
        <v>Electronics</v>
      </c>
      <c r="O7" s="8">
        <f t="shared" si="0"/>
        <v>52</v>
      </c>
      <c r="P7" s="12">
        <f>DATEVALUE(K7&amp;"-2026")</f>
        <v>46180</v>
      </c>
    </row>
    <row r="8" spans="1:16" ht="15.75" customHeight="1" x14ac:dyDescent="0.25">
      <c r="A8" s="8" t="s">
        <v>46</v>
      </c>
      <c r="B8" s="8" t="s">
        <v>47</v>
      </c>
      <c r="C8" s="8" t="s">
        <v>48</v>
      </c>
      <c r="D8" s="17">
        <v>30</v>
      </c>
      <c r="E8" s="8">
        <v>5</v>
      </c>
      <c r="F8" s="8" t="s">
        <v>32</v>
      </c>
      <c r="G8" s="8" t="str">
        <f>IF(ISBLANK(F8), "Electronics", F8)</f>
        <v>Fashion</v>
      </c>
      <c r="H8" s="8" t="str">
        <f>PROPER(Productdata[[#This Row],[Product Name]])</f>
        <v>T-Shirt</v>
      </c>
      <c r="I8" s="8" t="str">
        <f>PROPER(Productdata[[#This Row],[Category]])</f>
        <v>Fashion</v>
      </c>
      <c r="J8" s="8" t="str">
        <f>PROPER(TRIM(Productdata[[#This Row],[Product Name]]))</f>
        <v>T-Shirt</v>
      </c>
      <c r="K8" s="12" t="str">
        <f>LEFT(Productdata[[#This Row],[Product ID]],6)</f>
        <v>19-JUL</v>
      </c>
      <c r="L8" s="8" t="str">
        <f>RIGHT(Productdata[[#This Row],[Product ID]],2)</f>
        <v>UK</v>
      </c>
      <c r="M8" s="8" t="str">
        <f t="shared" si="1"/>
        <v>Adidas T-shirt</v>
      </c>
      <c r="N8" s="8" t="str">
        <f t="shared" si="2"/>
        <v>Fashion</v>
      </c>
      <c r="O8" s="8">
        <f t="shared" si="0"/>
        <v>30</v>
      </c>
      <c r="P8" s="12">
        <f>DATEVALUE(K8&amp;"-2026")</f>
        <v>46222</v>
      </c>
    </row>
    <row r="9" spans="1:16" ht="15.75" customHeight="1" x14ac:dyDescent="0.25">
      <c r="A9" s="8" t="s">
        <v>49</v>
      </c>
      <c r="B9" s="8" t="s">
        <v>50</v>
      </c>
      <c r="C9" s="8" t="s">
        <v>51</v>
      </c>
      <c r="D9" s="17">
        <v>90</v>
      </c>
      <c r="E9" s="8">
        <v>35</v>
      </c>
      <c r="F9" s="8" t="s">
        <v>36</v>
      </c>
      <c r="G9" s="8" t="str">
        <f>IF(ISBLANK(F9), "Electronics", F9)</f>
        <v>Kitchen</v>
      </c>
      <c r="H9" s="8" t="str">
        <f>PROPER(Productdata[[#This Row],[Product Name]])</f>
        <v>Blender</v>
      </c>
      <c r="I9" s="8" t="str">
        <f>PROPER(Productdata[[#This Row],[Category]])</f>
        <v>Kitchen</v>
      </c>
      <c r="J9" s="8" t="str">
        <f>PROPER(TRIM(Productdata[[#This Row],[Product Name]]))</f>
        <v>Blender</v>
      </c>
      <c r="K9" s="12" t="str">
        <f>LEFT(Productdata[[#This Row],[Product ID]],6)</f>
        <v>23-AUG</v>
      </c>
      <c r="L9" s="8" t="str">
        <f>RIGHT(Productdata[[#This Row],[Product ID]],2)</f>
        <v>UK</v>
      </c>
      <c r="M9" s="8" t="str">
        <f t="shared" si="1"/>
        <v>Ninja Blender</v>
      </c>
      <c r="N9" s="8" t="str">
        <f t="shared" si="2"/>
        <v>Kitchen</v>
      </c>
      <c r="O9" s="8">
        <f t="shared" si="0"/>
        <v>90</v>
      </c>
      <c r="P9" s="12">
        <f>DATEVALUE(K9&amp;"-2026")</f>
        <v>46257</v>
      </c>
    </row>
    <row r="10" spans="1:16" ht="15.75" customHeight="1" x14ac:dyDescent="0.25">
      <c r="A10" s="8" t="s">
        <v>52</v>
      </c>
      <c r="B10" s="8" t="s">
        <v>53</v>
      </c>
      <c r="C10" s="8" t="s">
        <v>54</v>
      </c>
      <c r="D10" s="17">
        <v>500</v>
      </c>
      <c r="E10" s="8">
        <v>50</v>
      </c>
      <c r="F10" s="8" t="s">
        <v>28</v>
      </c>
      <c r="G10" s="8" t="str">
        <f>IF(ISBLANK(F10), "Electronics", F10)</f>
        <v>Electronics</v>
      </c>
      <c r="H10" s="8" t="str">
        <f>PROPER(Productdata[[#This Row],[Product Name]])</f>
        <v>Tablet</v>
      </c>
      <c r="I10" s="8" t="str">
        <f>PROPER(Productdata[[#This Row],[Category]])</f>
        <v>Electronics</v>
      </c>
      <c r="J10" s="8" t="str">
        <f>PROPER(TRIM(Productdata[[#This Row],[Product Name]]))</f>
        <v>Tablet</v>
      </c>
      <c r="K10" s="12" t="str">
        <f>LEFT(Productdata[[#This Row],[Product ID]],6)</f>
        <v>05-SEP</v>
      </c>
      <c r="L10" s="8" t="str">
        <f>RIGHT(Productdata[[#This Row],[Product ID]],2)</f>
        <v>UK</v>
      </c>
      <c r="M10" s="8" t="str">
        <f t="shared" si="1"/>
        <v>Apple Tablet</v>
      </c>
      <c r="N10" s="8" t="str">
        <f t="shared" si="2"/>
        <v>Electronics</v>
      </c>
      <c r="O10" s="8">
        <f t="shared" si="0"/>
        <v>500</v>
      </c>
      <c r="P10" s="12">
        <f>DATEVALUE(K10&amp;"-2026")</f>
        <v>46270</v>
      </c>
    </row>
    <row r="11" spans="1:16" ht="15.75" customHeight="1" x14ac:dyDescent="0.25">
      <c r="A11" s="8" t="s">
        <v>55</v>
      </c>
      <c r="B11" s="8" t="s">
        <v>56</v>
      </c>
      <c r="C11" s="8" t="s">
        <v>57</v>
      </c>
      <c r="D11" s="17">
        <v>130</v>
      </c>
      <c r="E11" s="8">
        <v>10</v>
      </c>
      <c r="F11" s="8" t="s">
        <v>58</v>
      </c>
      <c r="G11" s="8" t="str">
        <f>IF(ISBLANK(F11), "Electronics", F11)</f>
        <v>Outdoor</v>
      </c>
      <c r="H11" s="8" t="str">
        <f>PROPER(Productdata[[#This Row],[Product Name]])</f>
        <v>Hiking Boots</v>
      </c>
      <c r="I11" s="8" t="str">
        <f>PROPER(Productdata[[#This Row],[Category]])</f>
        <v>Outdoor</v>
      </c>
      <c r="J11" s="8" t="str">
        <f>PROPER(TRIM(Productdata[[#This Row],[Product Name]]))</f>
        <v>Hiking Boots</v>
      </c>
      <c r="K11" s="12" t="str">
        <f>LEFT(Productdata[[#This Row],[Product ID]],6)</f>
        <v>14-OCT</v>
      </c>
      <c r="L11" s="8" t="str">
        <f>RIGHT(Productdata[[#This Row],[Product ID]],2)</f>
        <v>UK</v>
      </c>
      <c r="M11" s="8" t="str">
        <f t="shared" si="1"/>
        <v>Timberland Hiking Boots</v>
      </c>
      <c r="N11" s="8" t="str">
        <f t="shared" si="2"/>
        <v>Outdoor</v>
      </c>
      <c r="O11" s="8">
        <f t="shared" si="0"/>
        <v>130</v>
      </c>
      <c r="P11" s="12">
        <f>DATEVALUE(K11&amp;"-2026")</f>
        <v>46309</v>
      </c>
    </row>
    <row r="12" spans="1:16" ht="15.75" customHeight="1" x14ac:dyDescent="0.25">
      <c r="A12" s="8" t="s">
        <v>59</v>
      </c>
      <c r="B12" s="8" t="s">
        <v>60</v>
      </c>
      <c r="C12" s="8" t="s">
        <v>61</v>
      </c>
      <c r="D12" s="17">
        <v>950</v>
      </c>
      <c r="E12" s="8">
        <v>25</v>
      </c>
      <c r="F12" s="8" t="s">
        <v>28</v>
      </c>
      <c r="G12" s="8" t="str">
        <f>IF(ISBLANK(F12), "Electronics", F12)</f>
        <v>Electronics</v>
      </c>
      <c r="H12" s="8" t="str">
        <f>PROPER(Productdata[[#This Row],[Product Name]])</f>
        <v>Laptop</v>
      </c>
      <c r="I12" s="8" t="str">
        <f>PROPER(Productdata[[#This Row],[Category]])</f>
        <v>Electronics</v>
      </c>
      <c r="J12" s="8" t="str">
        <f>PROPER(TRIM(Productdata[[#This Row],[Product Name]]))</f>
        <v>Laptop</v>
      </c>
      <c r="K12" s="12" t="str">
        <f>LEFT(Productdata[[#This Row],[Product ID]],6)</f>
        <v>17-JUN</v>
      </c>
      <c r="L12" s="8" t="str">
        <f>RIGHT(Productdata[[#This Row],[Product ID]],2)</f>
        <v>IN</v>
      </c>
      <c r="M12" s="8" t="str">
        <f t="shared" si="1"/>
        <v>HP Laptop</v>
      </c>
      <c r="N12" s="8" t="str">
        <f t="shared" si="2"/>
        <v>Electronics</v>
      </c>
      <c r="O12" s="8">
        <f t="shared" si="0"/>
        <v>950</v>
      </c>
      <c r="P12" s="12">
        <f>DATEVALUE(K12&amp;"-2026")</f>
        <v>46190</v>
      </c>
    </row>
    <row r="13" spans="1:16" ht="15.75" customHeight="1" x14ac:dyDescent="0.25">
      <c r="A13" s="8" t="s">
        <v>62</v>
      </c>
      <c r="B13" s="8" t="s">
        <v>30</v>
      </c>
      <c r="C13" s="8" t="s">
        <v>48</v>
      </c>
      <c r="D13" s="17">
        <v>90</v>
      </c>
      <c r="E13" s="8">
        <v>40</v>
      </c>
      <c r="F13" s="14" t="s">
        <v>32</v>
      </c>
      <c r="G13" s="8"/>
      <c r="H13" s="8" t="str">
        <f>PROPER(Productdata[[#This Row],[Product Name]])</f>
        <v>Sneakers</v>
      </c>
      <c r="I13" s="8" t="str">
        <f>PROPER(Productdata[[#This Row],[Category]])</f>
        <v>Fashion</v>
      </c>
      <c r="J13" s="8" t="str">
        <f>PROPER(TRIM(Productdata[[#This Row],[Product Name]]))</f>
        <v>Sneakers</v>
      </c>
      <c r="K13" s="12" t="str">
        <f>LEFT(Productdata[[#This Row],[Product ID]],6)</f>
        <v>25-NOV</v>
      </c>
      <c r="L13" s="8" t="str">
        <f>RIGHT(Productdata[[#This Row],[Product ID]],2)</f>
        <v>AU</v>
      </c>
      <c r="M13" s="8" t="str">
        <f t="shared" si="1"/>
        <v>Adidas Sneakers</v>
      </c>
      <c r="N13" s="8" t="str">
        <f t="shared" si="2"/>
        <v>Fashion</v>
      </c>
      <c r="O13" s="8">
        <f t="shared" si="0"/>
        <v>90</v>
      </c>
      <c r="P13" s="12">
        <f>DATEVALUE(K13&amp;"-2026")</f>
        <v>46351</v>
      </c>
    </row>
    <row r="14" spans="1:16" ht="15.75" customHeight="1" x14ac:dyDescent="0.25">
      <c r="A14" s="8" t="s">
        <v>63</v>
      </c>
      <c r="B14" s="8" t="s">
        <v>34</v>
      </c>
      <c r="C14" s="8" t="s">
        <v>64</v>
      </c>
      <c r="D14" s="17">
        <v>120</v>
      </c>
      <c r="E14" s="8">
        <v>35</v>
      </c>
      <c r="F14" s="14" t="s">
        <v>36</v>
      </c>
      <c r="G14" s="8"/>
      <c r="H14" s="8" t="str">
        <f>PROPER(Productdata[[#This Row],[Product Name]])</f>
        <v>Coffee Maker</v>
      </c>
      <c r="I14" s="8" t="str">
        <f>PROPER(Productdata[[#This Row],[Category]])</f>
        <v>Kitchen</v>
      </c>
      <c r="J14" s="8" t="str">
        <f>PROPER(TRIM(Productdata[[#This Row],[Product Name]]))</f>
        <v>Coffee Maker</v>
      </c>
      <c r="K14" s="12" t="str">
        <f>LEFT(Productdata[[#This Row],[Product ID]],6)</f>
        <v>08-DEC</v>
      </c>
      <c r="L14" s="8" t="str">
        <f>RIGHT(Productdata[[#This Row],[Product ID]],2)</f>
        <v>DE</v>
      </c>
      <c r="M14" s="8" t="str">
        <f t="shared" si="1"/>
        <v>Nespresso Coffee Maker</v>
      </c>
      <c r="N14" s="8" t="str">
        <f t="shared" si="2"/>
        <v>Kitchen</v>
      </c>
      <c r="O14" s="8">
        <f t="shared" si="0"/>
        <v>120</v>
      </c>
      <c r="P14" s="12">
        <f>DATEVALUE(K14&amp;"-2026")</f>
        <v>46364</v>
      </c>
    </row>
    <row r="15" spans="1:16" ht="15.75" customHeight="1" x14ac:dyDescent="0.25">
      <c r="A15" s="8" t="s">
        <v>65</v>
      </c>
      <c r="B15" s="8" t="s">
        <v>66</v>
      </c>
      <c r="C15" s="8" t="s">
        <v>67</v>
      </c>
      <c r="D15" s="17">
        <v>150</v>
      </c>
      <c r="E15" s="8">
        <v>15</v>
      </c>
      <c r="F15" s="14" t="s">
        <v>28</v>
      </c>
      <c r="G15" s="8" t="str">
        <f>IF(ISBLANK(F15), "Electronicscs", F15)</f>
        <v>Electronics</v>
      </c>
      <c r="H15" s="8" t="str">
        <f>PROPER(Productdata[[#This Row],[Product Name]])</f>
        <v>Smartwatch</v>
      </c>
      <c r="I15" s="8" t="str">
        <f>PROPER(Productdata[[#This Row],[Category]])</f>
        <v>Electronics</v>
      </c>
      <c r="J15" s="8" t="str">
        <f>PROPER(TRIM(Productdata[[#This Row],[Product Name]]))</f>
        <v>Smartwatch</v>
      </c>
      <c r="K15" s="12" t="str">
        <f>LEFT(Productdata[[#This Row],[Product ID]],6)</f>
        <v>18-FEB</v>
      </c>
      <c r="L15" s="8" t="str">
        <f>RIGHT(Productdata[[#This Row],[Product ID]],2)</f>
        <v>CA</v>
      </c>
      <c r="M15" s="8" t="str">
        <f t="shared" si="1"/>
        <v>Fitbit Smartwatch</v>
      </c>
      <c r="N15" s="8" t="str">
        <f t="shared" si="2"/>
        <v>Electronics</v>
      </c>
      <c r="O15" s="8">
        <f t="shared" si="0"/>
        <v>150</v>
      </c>
      <c r="P15" s="12">
        <f>DATEVALUE(K15&amp;"-2026")</f>
        <v>46071</v>
      </c>
    </row>
    <row r="16" spans="1:16" ht="15.75" customHeight="1" x14ac:dyDescent="0.25">
      <c r="A16" s="8" t="s">
        <v>68</v>
      </c>
      <c r="B16" s="8" t="s">
        <v>69</v>
      </c>
      <c r="C16" s="8" t="s">
        <v>70</v>
      </c>
      <c r="D16" s="17">
        <v>250</v>
      </c>
      <c r="E16" s="8">
        <v>20</v>
      </c>
      <c r="F16" s="14" t="s">
        <v>28</v>
      </c>
      <c r="G16" s="8" t="str">
        <f>IF(ISBLANK(F16), "Electronicscs", F16)</f>
        <v>Electronics</v>
      </c>
      <c r="H16" s="8" t="str">
        <f>PROPER(Productdata[[#This Row],[Product Name]])</f>
        <v>Headphones</v>
      </c>
      <c r="I16" s="8" t="str">
        <f>PROPER(Productdata[[#This Row],[Category]])</f>
        <v>Electronics</v>
      </c>
      <c r="J16" s="8" t="str">
        <f>PROPER(TRIM(Productdata[[#This Row],[Product Name]]))</f>
        <v>Headphones</v>
      </c>
      <c r="K16" s="12" t="str">
        <f>LEFT(Productdata[[#This Row],[Product ID]],6)</f>
        <v>16-APR</v>
      </c>
      <c r="L16" s="8" t="str">
        <f>RIGHT(Productdata[[#This Row],[Product ID]],2)</f>
        <v>ES</v>
      </c>
      <c r="M16" s="8" t="str">
        <f t="shared" si="1"/>
        <v>Bose headphones</v>
      </c>
      <c r="N16" s="8" t="str">
        <f t="shared" si="2"/>
        <v>Electronics</v>
      </c>
      <c r="O16" s="8">
        <f t="shared" si="0"/>
        <v>250</v>
      </c>
      <c r="P16" s="12">
        <f>DATEVALUE(K16&amp;"-2026")</f>
        <v>46128</v>
      </c>
    </row>
    <row r="17" spans="1:16" ht="15.75" customHeight="1" x14ac:dyDescent="0.25">
      <c r="A17" s="8" t="s">
        <v>71</v>
      </c>
      <c r="B17" s="8" t="s">
        <v>72</v>
      </c>
      <c r="C17" s="8" t="s">
        <v>73</v>
      </c>
      <c r="D17" s="17">
        <v>50</v>
      </c>
      <c r="E17" s="8">
        <v>35</v>
      </c>
      <c r="F17" s="8" t="s">
        <v>74</v>
      </c>
      <c r="G17" s="8" t="str">
        <f>IF(ISBLANK(F17), "Electronics", F17)</f>
        <v>Accessories</v>
      </c>
      <c r="H17" s="8" t="str">
        <f>PROPER(Productdata[[#This Row],[Product Name]])</f>
        <v>Laptop Bag</v>
      </c>
      <c r="I17" s="8" t="str">
        <f>PROPER(Productdata[[#This Row],[Category]])</f>
        <v>Accessories</v>
      </c>
      <c r="J17" s="8" t="str">
        <f>PROPER(TRIM(Productdata[[#This Row],[Product Name]]))</f>
        <v>Laptop Bag</v>
      </c>
      <c r="K17" s="12" t="str">
        <f>LEFT(Productdata[[#This Row],[Product ID]],6)</f>
        <v>21-AUG</v>
      </c>
      <c r="L17" s="8" t="str">
        <f>RIGHT(Productdata[[#This Row],[Product ID]],2)</f>
        <v>CA</v>
      </c>
      <c r="M17" s="8" t="str">
        <f t="shared" si="1"/>
        <v>Samsonite Laptop Bag</v>
      </c>
      <c r="N17" s="8" t="str">
        <f t="shared" si="2"/>
        <v>Accessories</v>
      </c>
      <c r="O17" s="8">
        <f t="shared" si="0"/>
        <v>50</v>
      </c>
      <c r="P17" s="12">
        <f>DATEVALUE(K17&amp;"-2026")</f>
        <v>46255</v>
      </c>
    </row>
    <row r="18" spans="1:16" ht="15.75" customHeight="1" x14ac:dyDescent="0.25">
      <c r="A18" s="8" t="s">
        <v>75</v>
      </c>
      <c r="B18" s="8" t="s">
        <v>66</v>
      </c>
      <c r="C18" s="8" t="s">
        <v>76</v>
      </c>
      <c r="D18" s="17">
        <v>160</v>
      </c>
      <c r="E18" s="8">
        <v>15</v>
      </c>
      <c r="F18" s="14" t="s">
        <v>28</v>
      </c>
      <c r="G18" s="8" t="str">
        <f>IF(ISBLANK(F18), "Electronicscs", F18)</f>
        <v>Electronics</v>
      </c>
      <c r="H18" s="8" t="str">
        <f>PROPER(Productdata[[#This Row],[Product Name]])</f>
        <v>Smartwatch</v>
      </c>
      <c r="I18" s="8" t="str">
        <f>PROPER(Productdata[[#This Row],[Category]])</f>
        <v>Electronics</v>
      </c>
      <c r="J18" s="8" t="str">
        <f>PROPER(TRIM(Productdata[[#This Row],[Product Name]]))</f>
        <v>Smartwatch</v>
      </c>
      <c r="K18" s="12" t="str">
        <f>LEFT(Productdata[[#This Row],[Product ID]],6)</f>
        <v>20-AUG</v>
      </c>
      <c r="L18" s="8" t="str">
        <f>RIGHT(Productdata[[#This Row],[Product ID]],2)</f>
        <v>CN</v>
      </c>
      <c r="M18" s="8" t="str">
        <f t="shared" si="1"/>
        <v>Huawei Smartwatch</v>
      </c>
      <c r="N18" s="8" t="str">
        <f t="shared" si="2"/>
        <v>Electronics</v>
      </c>
      <c r="O18" s="8">
        <f t="shared" si="0"/>
        <v>160</v>
      </c>
      <c r="P18" s="12">
        <f>DATEVALUE(K18&amp;"-2026")</f>
        <v>46254</v>
      </c>
    </row>
    <row r="19" spans="1:16" ht="15.75" customHeight="1" x14ac:dyDescent="0.25">
      <c r="A19" s="8" t="s">
        <v>77</v>
      </c>
      <c r="B19" s="8" t="s">
        <v>26</v>
      </c>
      <c r="C19" s="8" t="s">
        <v>78</v>
      </c>
      <c r="D19" s="17">
        <v>980</v>
      </c>
      <c r="E19" s="8">
        <v>10</v>
      </c>
      <c r="F19" s="8" t="s">
        <v>28</v>
      </c>
      <c r="G19" s="8" t="str">
        <f>IF(ISBLANK(F19), "Electronics", F19)</f>
        <v>Electronics</v>
      </c>
      <c r="H19" s="8" t="str">
        <f>PROPER(Productdata[[#This Row],[Product Name]])</f>
        <v>Laptop</v>
      </c>
      <c r="I19" s="8" t="str">
        <f>PROPER(Productdata[[#This Row],[Category]])</f>
        <v>Electronics</v>
      </c>
      <c r="J19" s="8" t="str">
        <f>PROPER(TRIM(Productdata[[#This Row],[Product Name]]))</f>
        <v>Laptop</v>
      </c>
      <c r="K19" s="12" t="str">
        <f>LEFT(Productdata[[#This Row],[Product ID]],6)</f>
        <v>27-JAN</v>
      </c>
      <c r="L19" s="8" t="str">
        <f>RIGHT(Productdata[[#This Row],[Product ID]],2)</f>
        <v>IT</v>
      </c>
      <c r="M19" s="8" t="str">
        <f t="shared" si="1"/>
        <v>Asus laptop</v>
      </c>
      <c r="N19" s="8" t="str">
        <f t="shared" si="2"/>
        <v>Electronics</v>
      </c>
      <c r="O19" s="8">
        <f t="shared" si="0"/>
        <v>980</v>
      </c>
      <c r="P19" s="12">
        <f>DATEVALUE(K19&amp;"-2026")</f>
        <v>46049</v>
      </c>
    </row>
    <row r="20" spans="1:16" ht="15.75" customHeight="1" x14ac:dyDescent="0.25">
      <c r="A20" s="8" t="s">
        <v>79</v>
      </c>
      <c r="B20" s="8" t="s">
        <v>80</v>
      </c>
      <c r="C20" s="8" t="s">
        <v>81</v>
      </c>
      <c r="D20" s="17">
        <v>150</v>
      </c>
      <c r="E20" s="8">
        <v>15</v>
      </c>
      <c r="F20" s="8" t="s">
        <v>32</v>
      </c>
      <c r="G20" s="8" t="str">
        <f>IF(ISBLANK(F20), "Electronics", F20)</f>
        <v>Fashion</v>
      </c>
      <c r="H20" s="8" t="str">
        <f>PROPER(Productdata[[#This Row],[Product Name]])</f>
        <v>Sunglasses</v>
      </c>
      <c r="I20" s="8" t="str">
        <f>PROPER(Productdata[[#This Row],[Category]])</f>
        <v>Fashion</v>
      </c>
      <c r="J20" s="8" t="str">
        <f>PROPER(TRIM(Productdata[[#This Row],[Product Name]]))</f>
        <v>Sunglasses</v>
      </c>
      <c r="K20" s="12" t="str">
        <f>LEFT(Productdata[[#This Row],[Product ID]],6)</f>
        <v>01-MAR</v>
      </c>
      <c r="L20" s="8" t="str">
        <f>RIGHT(Productdata[[#This Row],[Product ID]],2)</f>
        <v>UK</v>
      </c>
      <c r="M20" s="8" t="str">
        <f t="shared" si="1"/>
        <v>Oakley Sunglasses</v>
      </c>
      <c r="N20" s="8" t="str">
        <f t="shared" si="2"/>
        <v>Fashion</v>
      </c>
      <c r="O20" s="8">
        <f t="shared" si="0"/>
        <v>150</v>
      </c>
      <c r="P20" s="12">
        <f>DATEVALUE(K20&amp;"-2026")</f>
        <v>46082</v>
      </c>
    </row>
    <row r="21" spans="1:16" ht="15.75" customHeight="1" x14ac:dyDescent="0.25">
      <c r="A21" s="8" t="s">
        <v>82</v>
      </c>
      <c r="B21" s="8" t="s">
        <v>83</v>
      </c>
      <c r="C21" s="8" t="s">
        <v>84</v>
      </c>
      <c r="D21" s="18">
        <v>425</v>
      </c>
      <c r="E21" s="8">
        <v>10</v>
      </c>
      <c r="F21" s="8" t="s">
        <v>58</v>
      </c>
      <c r="G21" s="8" t="str">
        <f>IF(ISBLANK(F21), "Electronics", F21)</f>
        <v>Outdoor</v>
      </c>
      <c r="H21" s="8" t="str">
        <f>PROPER(Productdata[[#This Row],[Product Name]])</f>
        <v>Camping Tent</v>
      </c>
      <c r="I21" s="8" t="str">
        <f>PROPER(Productdata[[#This Row],[Category]])</f>
        <v>Outdoor</v>
      </c>
      <c r="J21" s="8" t="str">
        <f>PROPER(TRIM(Productdata[[#This Row],[Product Name]]))</f>
        <v>Camping Tent</v>
      </c>
      <c r="K21" s="12" t="str">
        <f>LEFT(Productdata[[#This Row],[Product ID]],6)</f>
        <v>14-AUG</v>
      </c>
      <c r="L21" s="8" t="str">
        <f>RIGHT(Productdata[[#This Row],[Product ID]],2)</f>
        <v>US</v>
      </c>
      <c r="M21" s="8" t="str">
        <f t="shared" si="1"/>
        <v>Coleman Camping Tent</v>
      </c>
      <c r="N21" s="8" t="str">
        <f t="shared" si="2"/>
        <v>Outdoor</v>
      </c>
      <c r="O21" s="8">
        <f t="shared" si="0"/>
        <v>425</v>
      </c>
      <c r="P21" s="12">
        <f>DATEVALUE(K21&amp;"-2026")</f>
        <v>46248</v>
      </c>
    </row>
    <row r="22" spans="1:16" ht="15.75" customHeight="1" x14ac:dyDescent="0.25">
      <c r="A22" s="8" t="s">
        <v>85</v>
      </c>
      <c r="B22" s="8" t="s">
        <v>86</v>
      </c>
      <c r="C22" s="8" t="s">
        <v>87</v>
      </c>
      <c r="D22" s="17">
        <v>700</v>
      </c>
      <c r="E22" s="8">
        <v>50</v>
      </c>
      <c r="F22" s="8" t="s">
        <v>28</v>
      </c>
      <c r="G22" s="8" t="str">
        <f>IF(ISBLANK(F22), "Electronics", F22)</f>
        <v>Electronics</v>
      </c>
      <c r="H22" s="8" t="str">
        <f>PROPER(Productdata[[#This Row],[Product Name]])</f>
        <v>Camera</v>
      </c>
      <c r="I22" s="8" t="str">
        <f>PROPER(Productdata[[#This Row],[Category]])</f>
        <v>Electronics</v>
      </c>
      <c r="J22" s="8" t="str">
        <f>PROPER(TRIM(Productdata[[#This Row],[Product Name]]))</f>
        <v>Camera</v>
      </c>
      <c r="K22" s="12" t="str">
        <f>LEFT(Productdata[[#This Row],[Product ID]],6)</f>
        <v>14-MAY</v>
      </c>
      <c r="L22" s="8" t="str">
        <f>RIGHT(Productdata[[#This Row],[Product ID]],2)</f>
        <v>RU</v>
      </c>
      <c r="M22" s="8" t="str">
        <f t="shared" si="1"/>
        <v>Nikon Camera</v>
      </c>
      <c r="N22" s="8" t="str">
        <f t="shared" si="2"/>
        <v>Electronics</v>
      </c>
      <c r="O22" s="8">
        <f t="shared" si="0"/>
        <v>700</v>
      </c>
      <c r="P22" s="12">
        <f>DATEVALUE(K22&amp;"-2026")</f>
        <v>46156</v>
      </c>
    </row>
    <row r="23" spans="1:16" ht="15.75" customHeight="1" x14ac:dyDescent="0.25">
      <c r="A23" s="8" t="s">
        <v>88</v>
      </c>
      <c r="B23" s="8" t="s">
        <v>89</v>
      </c>
      <c r="C23" s="8" t="s">
        <v>90</v>
      </c>
      <c r="D23" s="17">
        <v>80</v>
      </c>
      <c r="E23" s="8">
        <v>20</v>
      </c>
      <c r="F23" s="8" t="s">
        <v>36</v>
      </c>
      <c r="G23" s="8" t="str">
        <f>IF(ISBLANK(F23), "Electronics", F23)</f>
        <v>Kitchen</v>
      </c>
      <c r="H23" s="8" t="str">
        <f>PROPER(Productdata[[#This Row],[Product Name]])</f>
        <v>Microwave</v>
      </c>
      <c r="I23" s="8" t="str">
        <f>PROPER(Productdata[[#This Row],[Category]])</f>
        <v>Kitchen</v>
      </c>
      <c r="J23" s="8" t="str">
        <f>PROPER(TRIM(Productdata[[#This Row],[Product Name]]))</f>
        <v>Microwave</v>
      </c>
      <c r="K23" s="12" t="str">
        <f>LEFT(Productdata[[#This Row],[Product ID]],6)</f>
        <v>09-JAN</v>
      </c>
      <c r="L23" s="8" t="str">
        <f>RIGHT(Productdata[[#This Row],[Product ID]],2)</f>
        <v>CA</v>
      </c>
      <c r="M23" s="8" t="str">
        <f t="shared" si="1"/>
        <v>Panasonic Microwave</v>
      </c>
      <c r="N23" s="8" t="str">
        <f t="shared" si="2"/>
        <v>Kitchen</v>
      </c>
      <c r="O23" s="8">
        <f t="shared" si="0"/>
        <v>80</v>
      </c>
      <c r="P23" s="12">
        <f>DATEVALUE(K23&amp;"-2026")</f>
        <v>46031</v>
      </c>
    </row>
    <row r="24" spans="1:16" ht="15.75" customHeight="1" x14ac:dyDescent="0.25">
      <c r="A24" s="8" t="s">
        <v>91</v>
      </c>
      <c r="B24" s="8" t="s">
        <v>92</v>
      </c>
      <c r="C24" s="8" t="s">
        <v>93</v>
      </c>
      <c r="D24" s="17">
        <v>150</v>
      </c>
      <c r="E24" s="8">
        <v>30</v>
      </c>
      <c r="F24" s="14" t="s">
        <v>28</v>
      </c>
      <c r="G24" s="8"/>
      <c r="H24" s="8" t="str">
        <f>PROPER(Productdata[[#This Row],[Product Name]])</f>
        <v>Fitness Tracker</v>
      </c>
      <c r="I24" s="8" t="str">
        <f>PROPER(Productdata[[#This Row],[Category]])</f>
        <v>Electronics</v>
      </c>
      <c r="J24" s="8" t="str">
        <f>PROPER(TRIM(Productdata[[#This Row],[Product Name]]))</f>
        <v>Fitness Tracker</v>
      </c>
      <c r="K24" s="12" t="str">
        <f>LEFT(Productdata[[#This Row],[Product ID]],6)</f>
        <v>19-JUL</v>
      </c>
      <c r="L24" s="8" t="str">
        <f>RIGHT(Productdata[[#This Row],[Product ID]],2)</f>
        <v>BR</v>
      </c>
      <c r="M24" s="8" t="str">
        <f t="shared" si="1"/>
        <v>Xiaomi Fitness Tracker</v>
      </c>
      <c r="N24" s="8" t="str">
        <f t="shared" si="2"/>
        <v>Electronics</v>
      </c>
      <c r="O24" s="8">
        <f t="shared" si="0"/>
        <v>150</v>
      </c>
      <c r="P24" s="12">
        <f>DATEVALUE(K24&amp;"-2026")</f>
        <v>46222</v>
      </c>
    </row>
    <row r="25" spans="1:16" ht="15.75" customHeight="1" x14ac:dyDescent="0.25">
      <c r="A25" s="8" t="s">
        <v>94</v>
      </c>
      <c r="B25" s="8" t="s">
        <v>95</v>
      </c>
      <c r="C25" s="8" t="s">
        <v>96</v>
      </c>
      <c r="D25" s="17">
        <v>800</v>
      </c>
      <c r="E25" s="8">
        <v>45</v>
      </c>
      <c r="F25" s="8" t="s">
        <v>28</v>
      </c>
      <c r="G25" s="8" t="str">
        <f t="shared" ref="G25:G32" si="3">IF(ISBLANK(F25), "Electronics", F25)</f>
        <v>Electronics</v>
      </c>
      <c r="H25" s="8" t="str">
        <f>PROPER(Productdata[[#This Row],[Product Name]])</f>
        <v>Smartphone</v>
      </c>
      <c r="I25" s="8" t="str">
        <f>PROPER(Productdata[[#This Row],[Category]])</f>
        <v>Electronics</v>
      </c>
      <c r="J25" s="8" t="str">
        <f>PROPER(TRIM(Productdata[[#This Row],[Product Name]]))</f>
        <v>Smartphone</v>
      </c>
      <c r="K25" s="12" t="str">
        <f>LEFT(Productdata[[#This Row],[Product ID]],6)</f>
        <v>29-SEP</v>
      </c>
      <c r="L25" s="8" t="str">
        <f>RIGHT(Productdata[[#This Row],[Product ID]],2)</f>
        <v>CA</v>
      </c>
      <c r="M25" s="8" t="str">
        <f t="shared" si="1"/>
        <v>Google Smartphone</v>
      </c>
      <c r="N25" s="8" t="str">
        <f t="shared" si="2"/>
        <v>Electronics</v>
      </c>
      <c r="O25" s="8">
        <f t="shared" si="0"/>
        <v>800</v>
      </c>
      <c r="P25" s="12">
        <f>DATEVALUE(K25&amp;"-2026")</f>
        <v>46294</v>
      </c>
    </row>
    <row r="26" spans="1:16" ht="15.75" customHeight="1" x14ac:dyDescent="0.25">
      <c r="A26" s="8" t="s">
        <v>97</v>
      </c>
      <c r="B26" s="8" t="s">
        <v>80</v>
      </c>
      <c r="C26" s="8" t="s">
        <v>98</v>
      </c>
      <c r="D26" s="19">
        <v>534</v>
      </c>
      <c r="E26" s="8">
        <v>25</v>
      </c>
      <c r="F26" s="8" t="s">
        <v>32</v>
      </c>
      <c r="G26" s="8" t="str">
        <f t="shared" si="3"/>
        <v>Fashion</v>
      </c>
      <c r="H26" s="8" t="str">
        <f>PROPER(Productdata[[#This Row],[Product Name]])</f>
        <v>Sunglasses</v>
      </c>
      <c r="I26" s="8" t="str">
        <f>PROPER(Productdata[[#This Row],[Category]])</f>
        <v>Fashion</v>
      </c>
      <c r="J26" s="8" t="str">
        <f>PROPER(TRIM(Productdata[[#This Row],[Product Name]]))</f>
        <v>Sunglasses</v>
      </c>
      <c r="K26" s="12" t="str">
        <f>LEFT(Productdata[[#This Row],[Product ID]],6)</f>
        <v>03-JUN</v>
      </c>
      <c r="L26" s="8" t="str">
        <f>RIGHT(Productdata[[#This Row],[Product ID]],2)</f>
        <v>CA</v>
      </c>
      <c r="M26" s="8" t="str">
        <f t="shared" si="1"/>
        <v>Ray-Ban Sunglasses</v>
      </c>
      <c r="N26" s="8" t="str">
        <f t="shared" si="2"/>
        <v>Fashion</v>
      </c>
      <c r="O26" s="8">
        <f t="shared" si="0"/>
        <v>534</v>
      </c>
      <c r="P26" s="12">
        <f>DATEVALUE(K26&amp;"-2026")</f>
        <v>46176</v>
      </c>
    </row>
    <row r="27" spans="1:16" ht="15.75" customHeight="1" x14ac:dyDescent="0.25">
      <c r="A27" s="8" t="s">
        <v>99</v>
      </c>
      <c r="B27" s="8" t="s">
        <v>50</v>
      </c>
      <c r="C27" s="8" t="s">
        <v>100</v>
      </c>
      <c r="D27" s="17">
        <v>400</v>
      </c>
      <c r="E27" s="8">
        <v>40</v>
      </c>
      <c r="F27" s="8" t="s">
        <v>36</v>
      </c>
      <c r="G27" s="8" t="str">
        <f t="shared" si="3"/>
        <v>Kitchen</v>
      </c>
      <c r="H27" s="8" t="str">
        <f>PROPER(Productdata[[#This Row],[Product Name]])</f>
        <v>Blender</v>
      </c>
      <c r="I27" s="8" t="str">
        <f>PROPER(Productdata[[#This Row],[Category]])</f>
        <v>Kitchen</v>
      </c>
      <c r="J27" s="8" t="str">
        <f>PROPER(TRIM(Productdata[[#This Row],[Product Name]]))</f>
        <v>Blender</v>
      </c>
      <c r="K27" s="12" t="str">
        <f>LEFT(Productdata[[#This Row],[Product ID]],6)</f>
        <v>11-JUL</v>
      </c>
      <c r="L27" s="8" t="str">
        <f>RIGHT(Productdata[[#This Row],[Product ID]],2)</f>
        <v>CA</v>
      </c>
      <c r="M27" s="8" t="str">
        <f t="shared" si="1"/>
        <v>Vitamix Blender</v>
      </c>
      <c r="N27" s="8" t="str">
        <f t="shared" si="2"/>
        <v>Kitchen</v>
      </c>
      <c r="O27" s="8">
        <f t="shared" si="0"/>
        <v>400</v>
      </c>
      <c r="P27" s="12">
        <f>DATEVALUE(K27&amp;"-2026")</f>
        <v>46214</v>
      </c>
    </row>
    <row r="28" spans="1:16" ht="15.75" customHeight="1" x14ac:dyDescent="0.25">
      <c r="A28" s="8" t="s">
        <v>101</v>
      </c>
      <c r="B28" s="8" t="s">
        <v>102</v>
      </c>
      <c r="C28" s="8" t="s">
        <v>103</v>
      </c>
      <c r="D28" s="17">
        <v>60</v>
      </c>
      <c r="E28" s="8">
        <v>30</v>
      </c>
      <c r="F28" s="8" t="s">
        <v>32</v>
      </c>
      <c r="G28" s="8" t="str">
        <f t="shared" si="3"/>
        <v>Fashion</v>
      </c>
      <c r="H28" s="8" t="str">
        <f>PROPER(Productdata[[#This Row],[Product Name]])</f>
        <v>Dress</v>
      </c>
      <c r="I28" s="8" t="str">
        <f>PROPER(Productdata[[#This Row],[Category]])</f>
        <v>Fashion</v>
      </c>
      <c r="J28" s="8" t="str">
        <f>PROPER(TRIM(Productdata[[#This Row],[Product Name]]))</f>
        <v>Dress</v>
      </c>
      <c r="K28" s="12" t="str">
        <f>LEFT(Productdata[[#This Row],[Product ID]],6)</f>
        <v>07-MAR</v>
      </c>
      <c r="L28" s="8" t="str">
        <f>RIGHT(Productdata[[#This Row],[Product ID]],2)</f>
        <v>CA</v>
      </c>
      <c r="M28" s="8" t="str">
        <f t="shared" si="1"/>
        <v>Zara Dress</v>
      </c>
      <c r="N28" s="8" t="str">
        <f t="shared" si="2"/>
        <v>Fashion</v>
      </c>
      <c r="O28" s="8">
        <f t="shared" si="0"/>
        <v>60</v>
      </c>
      <c r="P28" s="12">
        <f>DATEVALUE(K28&amp;"-2026")</f>
        <v>46088</v>
      </c>
    </row>
    <row r="29" spans="1:16" ht="15.75" customHeight="1" x14ac:dyDescent="0.25">
      <c r="A29" s="8" t="s">
        <v>104</v>
      </c>
      <c r="B29" s="8" t="s">
        <v>105</v>
      </c>
      <c r="C29" s="8" t="s">
        <v>106</v>
      </c>
      <c r="D29" s="17">
        <v>40</v>
      </c>
      <c r="E29" s="8">
        <v>10</v>
      </c>
      <c r="F29" s="8" t="s">
        <v>36</v>
      </c>
      <c r="G29" s="8" t="str">
        <f t="shared" si="3"/>
        <v>Kitchen</v>
      </c>
      <c r="H29" s="8" t="str">
        <f>PROPER(Productdata[[#This Row],[Product Name]])</f>
        <v>Toaster</v>
      </c>
      <c r="I29" s="8" t="str">
        <f>PROPER(Productdata[[#This Row],[Category]])</f>
        <v>Kitchen</v>
      </c>
      <c r="J29" s="8" t="str">
        <f>PROPER(TRIM(Productdata[[#This Row],[Product Name]]))</f>
        <v>Toaster</v>
      </c>
      <c r="K29" s="12" t="str">
        <f>LEFT(Productdata[[#This Row],[Product ID]],6)</f>
        <v>13-APR</v>
      </c>
      <c r="L29" s="8" t="str">
        <f>RIGHT(Productdata[[#This Row],[Product ID]],2)</f>
        <v>CA</v>
      </c>
      <c r="M29" s="8" t="str">
        <f t="shared" si="1"/>
        <v>Hamilton Toaster</v>
      </c>
      <c r="N29" s="8" t="str">
        <f t="shared" si="2"/>
        <v>Kitchen</v>
      </c>
      <c r="O29" s="8">
        <f t="shared" si="0"/>
        <v>40</v>
      </c>
      <c r="P29" s="12">
        <f>DATEVALUE(K29&amp;"-2026")</f>
        <v>46125</v>
      </c>
    </row>
    <row r="30" spans="1:16" ht="15.75" customHeight="1" x14ac:dyDescent="0.25">
      <c r="A30" s="8" t="s">
        <v>107</v>
      </c>
      <c r="B30" s="8" t="s">
        <v>92</v>
      </c>
      <c r="C30" s="8" t="s">
        <v>108</v>
      </c>
      <c r="D30" s="17">
        <v>130</v>
      </c>
      <c r="E30" s="8">
        <v>5</v>
      </c>
      <c r="F30" s="8" t="s">
        <v>28</v>
      </c>
      <c r="G30" s="8" t="str">
        <f t="shared" si="3"/>
        <v>Electronics</v>
      </c>
      <c r="H30" s="8" t="str">
        <f>PROPER(Productdata[[#This Row],[Product Name]])</f>
        <v>Fitness Tracker</v>
      </c>
      <c r="I30" s="8" t="str">
        <f>PROPER(Productdata[[#This Row],[Category]])</f>
        <v>Electronics</v>
      </c>
      <c r="J30" s="8" t="str">
        <f>PROPER(TRIM(Productdata[[#This Row],[Product Name]]))</f>
        <v>Fitness Tracker</v>
      </c>
      <c r="K30" s="12" t="str">
        <f>LEFT(Productdata[[#This Row],[Product ID]],6)</f>
        <v>24-MAY</v>
      </c>
      <c r="L30" s="8" t="str">
        <f>RIGHT(Productdata[[#This Row],[Product ID]],2)</f>
        <v>CA</v>
      </c>
      <c r="M30" s="8" t="str">
        <f t="shared" si="1"/>
        <v>Garmin Fitness Tracker</v>
      </c>
      <c r="N30" s="8" t="str">
        <f t="shared" si="2"/>
        <v>Electronics</v>
      </c>
      <c r="O30" s="8">
        <f t="shared" si="0"/>
        <v>130</v>
      </c>
      <c r="P30" s="12">
        <f>DATEVALUE(K30&amp;"-2026")</f>
        <v>46166</v>
      </c>
    </row>
    <row r="31" spans="1:16" ht="15.75" customHeight="1" x14ac:dyDescent="0.25">
      <c r="A31" s="8" t="s">
        <v>109</v>
      </c>
      <c r="B31" s="8" t="s">
        <v>110</v>
      </c>
      <c r="C31" s="8" t="s">
        <v>111</v>
      </c>
      <c r="D31" s="17">
        <v>50</v>
      </c>
      <c r="E31" s="8">
        <v>50</v>
      </c>
      <c r="F31" s="8" t="s">
        <v>32</v>
      </c>
      <c r="G31" s="8" t="str">
        <f t="shared" si="3"/>
        <v>Fashion</v>
      </c>
      <c r="H31" s="8" t="str">
        <f>PROPER(Productdata[[#This Row],[Product Name]])</f>
        <v>Jeans</v>
      </c>
      <c r="I31" s="8" t="str">
        <f>PROPER(Productdata[[#This Row],[Category]])</f>
        <v>Fashion</v>
      </c>
      <c r="J31" s="8" t="str">
        <f>PROPER(TRIM(Productdata[[#This Row],[Product Name]]))</f>
        <v>Jeans</v>
      </c>
      <c r="K31" s="12" t="str">
        <f>LEFT(Productdata[[#This Row],[Product ID]],6)</f>
        <v>02-DEC</v>
      </c>
      <c r="L31" s="8" t="str">
        <f>RIGHT(Productdata[[#This Row],[Product ID]],2)</f>
        <v>CA</v>
      </c>
      <c r="M31" s="8" t="str">
        <f t="shared" si="1"/>
        <v>Levi's Jeans</v>
      </c>
      <c r="N31" s="8" t="str">
        <f t="shared" si="2"/>
        <v>Fashion</v>
      </c>
      <c r="O31" s="8">
        <f t="shared" si="0"/>
        <v>50</v>
      </c>
      <c r="P31" s="12">
        <f>DATEVALUE(K31&amp;"-2026")</f>
        <v>46358</v>
      </c>
    </row>
    <row r="32" spans="1:16" ht="15.75" customHeight="1" x14ac:dyDescent="0.25">
      <c r="A32" s="8" t="s">
        <v>112</v>
      </c>
      <c r="B32" s="8" t="s">
        <v>113</v>
      </c>
      <c r="C32" s="8" t="s">
        <v>114</v>
      </c>
      <c r="D32" s="17">
        <v>100</v>
      </c>
      <c r="E32" s="8">
        <v>20</v>
      </c>
      <c r="F32" s="8" t="s">
        <v>74</v>
      </c>
      <c r="G32" s="8" t="str">
        <f t="shared" si="3"/>
        <v>Accessories</v>
      </c>
      <c r="H32" s="8" t="str">
        <f>PROPER(Productdata[[#This Row],[Product Name]])</f>
        <v>Watch</v>
      </c>
      <c r="I32" s="8" t="str">
        <f>PROPER(Productdata[[#This Row],[Category]])</f>
        <v>Accessories</v>
      </c>
      <c r="J32" s="8" t="str">
        <f>PROPER(TRIM(Productdata[[#This Row],[Product Name]]))</f>
        <v>Watch</v>
      </c>
      <c r="K32" s="12" t="str">
        <f>LEFT(Productdata[[#This Row],[Product ID]],6)</f>
        <v>09-JUL</v>
      </c>
      <c r="L32" s="8" t="str">
        <f>RIGHT(Productdata[[#This Row],[Product ID]],2)</f>
        <v>FR</v>
      </c>
      <c r="M32" s="8" t="str">
        <f t="shared" si="1"/>
        <v>Casio Watch</v>
      </c>
      <c r="N32" s="8" t="str">
        <f t="shared" si="2"/>
        <v>Accessories</v>
      </c>
      <c r="O32" s="8">
        <f t="shared" si="0"/>
        <v>100</v>
      </c>
      <c r="P32" s="12">
        <f>DATEVALUE(K32&amp;"-2026")</f>
        <v>46212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dataConsolidate/>
  <conditionalFormatting sqref="A2:A32">
    <cfRule type="duplicateValues" dxfId="5" priority="13"/>
  </conditionalFormatting>
  <conditionalFormatting sqref="A1:A1048576">
    <cfRule type="duplicateValues" dxfId="4" priority="6"/>
  </conditionalFormatting>
  <conditionalFormatting sqref="A1:A32">
    <cfRule type="duplicateValues" dxfId="3" priority="5"/>
  </conditionalFormatting>
  <conditionalFormatting sqref="D1:D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ntainsText" dxfId="2" priority="3" operator="containsText" text="Electronics">
      <formula>NOT(ISERROR(SEARCH("Electronics",F1)))</formula>
    </cfRule>
  </conditionalFormatting>
  <conditionalFormatting sqref="F2:F32">
    <cfRule type="containsText" dxfId="1" priority="1" operator="containsText" text="Electronics">
      <formula>NOT(ISERROR(SEARCH("Electronics",F2)))</formula>
    </cfRule>
    <cfRule type="containsText" dxfId="0" priority="2" operator="containsText" text="Electronics">
      <formula>NOT(ISERROR(SEARCH("Electronics",F2)))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Babu Pothuganti</cp:lastModifiedBy>
  <dcterms:modified xsi:type="dcterms:W3CDTF">2026-07-09T07:05:35Z</dcterms:modified>
</cp:coreProperties>
</file>